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nicio" sheetId="1" state="visible" r:id="rId1"/>
    <sheet name="Datos Registrados" sheetId="2" state="visible" r:id="rId2"/>
    <sheet name="Usuarios" sheetId="3" state="visible" r:id="rId3"/>
    <sheet name="Registro de Gastos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 HH:MM"/>
    <numFmt numFmtId="165" formatCode="&quot;S/.&quot;#,##0.00"/>
    <numFmt numFmtId="166" formatCode="0.0%"/>
  </numFmts>
  <fonts count="10">
    <font>
      <name val="Calibri"/>
      <family val="2"/>
      <color theme="1"/>
      <sz val="11"/>
      <scheme val="minor"/>
    </font>
    <font>
      <name val="Calibri"/>
      <b val="1"/>
      <color rgb="00FFFFFF"/>
      <sz val="18"/>
    </font>
    <font>
      <name val="Calibri"/>
      <b val="1"/>
      <color rgb="00FFFFFF"/>
      <sz val="11"/>
    </font>
    <font>
      <name val="Calibri"/>
      <b val="1"/>
      <sz val="11"/>
    </font>
    <font>
      <name val="Calibri"/>
      <sz val="11"/>
    </font>
    <font>
      <name val="Calibri"/>
      <b val="1"/>
      <color rgb="001E7E34"/>
      <sz val="18"/>
    </font>
    <font>
      <name val="Calibri"/>
      <b val="1"/>
      <color rgb="00BD2130"/>
      <sz val="18"/>
    </font>
    <font>
      <name val="Calibri"/>
      <b val="1"/>
      <color rgb="001B365D"/>
      <sz val="18"/>
    </font>
    <font>
      <name val="Calibri"/>
      <b val="1"/>
      <color rgb="002B547E"/>
      <sz val="18"/>
    </font>
    <font>
      <name val="Calibri"/>
      <b val="1"/>
      <color rgb="001B365D"/>
      <sz val="12"/>
    </font>
  </fonts>
  <fills count="8">
    <fill>
      <patternFill/>
    </fill>
    <fill>
      <patternFill patternType="gray125"/>
    </fill>
    <fill>
      <patternFill patternType="solid">
        <fgColor rgb="001B365D"/>
        <bgColor rgb="001B365D"/>
      </patternFill>
    </fill>
    <fill>
      <patternFill patternType="solid">
        <fgColor rgb="002B547E"/>
        <bgColor rgb="002B547E"/>
      </patternFill>
    </fill>
    <fill>
      <patternFill patternType="solid">
        <fgColor rgb="00F8F9FA"/>
        <bgColor rgb="00F8F9FA"/>
      </patternFill>
    </fill>
    <fill>
      <patternFill patternType="solid">
        <fgColor rgb="001E7E34"/>
        <bgColor rgb="001E7E34"/>
      </patternFill>
    </fill>
    <fill>
      <patternFill patternType="solid">
        <fgColor rgb="00BD2130"/>
        <bgColor rgb="00BD2130"/>
      </patternFill>
    </fill>
    <fill>
      <patternFill patternType="solid">
        <fgColor rgb="00E9ECEF"/>
        <bgColor rgb="00E9ECEF"/>
      </patternFill>
    </fill>
  </fills>
  <borders count="2">
    <border>
      <left/>
      <right/>
      <top/>
      <bottom/>
      <diagonal/>
    </border>
    <border>
      <left style="thin">
        <color rgb="00CED4DA"/>
      </left>
      <right style="thin">
        <color rgb="00CED4DA"/>
      </right>
      <top style="thin">
        <color rgb="00CED4DA"/>
      </top>
      <bottom style="thin">
        <color rgb="00CED4DA"/>
      </bottom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2" fillId="5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6" borderId="1" applyAlignment="1" pivotButton="0" quotePrefix="0" xfId="0">
      <alignment horizontal="center" vertical="center"/>
    </xf>
    <xf numFmtId="0" fontId="3" fillId="4" borderId="1" pivotButton="0" quotePrefix="0" xfId="0"/>
    <xf numFmtId="0" fontId="4" fillId="4" borderId="1" pivotButton="0" quotePrefix="0" xfId="0"/>
    <xf numFmtId="0" fontId="0" fillId="4" borderId="1" pivotButton="0" quotePrefix="0" xfId="0"/>
    <xf numFmtId="165" fontId="5" fillId="0" borderId="1" applyAlignment="1" pivotButton="0" quotePrefix="0" xfId="0">
      <alignment horizontal="center" vertical="center"/>
    </xf>
    <xf numFmtId="165" fontId="6" fillId="0" borderId="1" applyAlignment="1" pivotButton="0" quotePrefix="0" xfId="0">
      <alignment horizontal="center" vertical="center"/>
    </xf>
    <xf numFmtId="164" fontId="4" fillId="4" borderId="1" pivotButton="0" quotePrefix="0" xfId="0"/>
    <xf numFmtId="0" fontId="2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165" fontId="7" fillId="0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 wrapText="1"/>
    </xf>
    <xf numFmtId="0" fontId="9" fillId="0" borderId="0" pivotButton="0" quotePrefix="0" xfId="0"/>
    <xf numFmtId="0" fontId="0" fillId="0" borderId="1" applyAlignment="1" pivotButton="0" quotePrefix="0" xfId="0">
      <alignment horizontal="center"/>
    </xf>
    <xf numFmtId="165" fontId="0" fillId="0" borderId="1" pivotButton="0" quotePrefix="0" xfId="0"/>
    <xf numFmtId="0" fontId="2" fillId="2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center"/>
    </xf>
    <xf numFmtId="0" fontId="4" fillId="0" borderId="1" pivotButton="0" quotePrefix="0" xfId="0"/>
    <xf numFmtId="165" fontId="4" fillId="0" borderId="1" applyAlignment="1" pivotButton="0" quotePrefix="0" xfId="0">
      <alignment horizontal="right"/>
    </xf>
    <xf numFmtId="0" fontId="3" fillId="0" borderId="1" pivotButton="0" quotePrefix="0" xfId="0"/>
    <xf numFmtId="165" fontId="4" fillId="0" borderId="1" pivotButton="0" quotePrefix="0" xfId="0"/>
    <xf numFmtId="165" fontId="3" fillId="0" borderId="1" pivotButton="0" quotePrefix="0" xfId="0"/>
    <xf numFmtId="166" fontId="4" fillId="0" borderId="1" pivotButton="0" quotePrefix="0" xfId="0"/>
    <xf numFmtId="0" fontId="3" fillId="7" borderId="1" pivotButton="0" quotePrefix="0" xfId="0"/>
    <xf numFmtId="166" fontId="3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19"/>
  <sheetViews>
    <sheetView showGridLines="1" workbookViewId="0">
      <selection activeCell="A1" sqref="A1"/>
    </sheetView>
  </sheetViews>
  <sheetFormatPr baseColWidth="8" defaultRowHeight="15"/>
  <cols>
    <col width="14" customWidth="1" min="1" max="1"/>
    <col width="18" customWidth="1" min="2" max="2"/>
    <col width="22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  <col width="18" customWidth="1" min="9" max="9"/>
  </cols>
  <sheetData>
    <row r="1">
      <c r="A1" s="1" t="inlineStr">
        <is>
          <t>🏠 SISTEMA DE CONTROL Y ADMINISTRACIÓN DE GASTOS DEL HOGAR</t>
        </is>
      </c>
    </row>
    <row r="2"/>
    <row r="3"/>
    <row r="4">
      <c r="B4" s="2" t="inlineStr">
        <is>
          <t>🔐 USER ACTIVE / SESIÓN ACTUAL</t>
        </is>
      </c>
      <c r="F4" s="3" t="inlineStr">
        <is>
          <t>🟢 TOTAL INGRESOS</t>
        </is>
      </c>
      <c r="G4" s="4" t="n"/>
      <c r="H4" s="5" t="inlineStr">
        <is>
          <t>🔴 TOTAL SALIDAS / GASTOS</t>
        </is>
      </c>
      <c r="I4" s="4" t="n"/>
    </row>
    <row r="5">
      <c r="B5" s="6" t="inlineStr">
        <is>
          <t>Usuario:</t>
        </is>
      </c>
      <c r="C5" s="7" t="inlineStr">
        <is>
          <t>admin</t>
        </is>
      </c>
      <c r="D5" s="8" t="n"/>
      <c r="F5" s="9">
        <f>SUMIF('Datos Registrados'!D7:D1000, "Ingreso", 'Datos Registrados'!G7:G1000)</f>
        <v/>
      </c>
      <c r="G5" s="4" t="n"/>
      <c r="H5" s="10">
        <f>SUMIF('Datos Registrados'!D7:D1000, "Salida", 'Datos Registrados'!G7:G1000)</f>
        <v/>
      </c>
      <c r="I5" s="4" t="n"/>
    </row>
    <row r="6">
      <c r="B6" s="6" t="inlineStr">
        <is>
          <t>Nivel de Permiso:</t>
        </is>
      </c>
      <c r="C6" s="7" t="inlineStr">
        <is>
          <t>Administrador</t>
        </is>
      </c>
      <c r="D6" s="8" t="n"/>
      <c r="F6" s="4" t="n"/>
      <c r="G6" s="4" t="n"/>
      <c r="H6" s="4" t="n"/>
      <c r="I6" s="4" t="n"/>
    </row>
    <row r="7">
      <c r="B7" s="6" t="inlineStr">
        <is>
          <t>Último Acceso:</t>
        </is>
      </c>
      <c r="C7" s="11">
        <f>NOW()</f>
        <v/>
      </c>
      <c r="D7" s="8" t="n"/>
    </row>
    <row r="8">
      <c r="B8" s="12" t="inlineStr">
        <is>
          <t>💰 SALDO DISPONIBLE</t>
        </is>
      </c>
      <c r="C8" s="4" t="n"/>
      <c r="D8" s="13" t="inlineStr">
        <is>
          <t>📊 TOTAL REGISTROS</t>
        </is>
      </c>
      <c r="E8" s="4" t="n"/>
      <c r="F8" s="12" t="inlineStr">
        <is>
          <t>⚡ PANEL DE ACCESO RÁPIDO / NAVEGACIÓN</t>
        </is>
      </c>
      <c r="G8" s="4" t="n"/>
      <c r="H8" s="4" t="n"/>
      <c r="I8" s="4" t="n"/>
    </row>
    <row r="9">
      <c r="B9" s="14">
        <f>F5-H5</f>
        <v/>
      </c>
      <c r="C9" s="4" t="n"/>
      <c r="D9" s="15">
        <f>COUNTA('Datos Registrados'!A7:A1000)</f>
        <v/>
      </c>
      <c r="E9" s="4" t="n"/>
      <c r="F9" s="16" t="inlineStr">
        <is>
          <t>Utilice los botones integrados en la barra superior o en el formulario de menú para interactuar con el sistema.</t>
        </is>
      </c>
      <c r="G9" s="4" t="n"/>
      <c r="H9" s="4" t="n"/>
      <c r="I9" s="4" t="n"/>
    </row>
    <row r="10">
      <c r="B10" s="4" t="n"/>
      <c r="C10" s="4" t="n"/>
      <c r="D10" s="4" t="n"/>
      <c r="E10" s="4" t="n"/>
      <c r="F10" s="4" t="n"/>
      <c r="G10" s="4" t="n"/>
      <c r="H10" s="4" t="n"/>
      <c r="I10" s="4" t="n"/>
    </row>
    <row r="11"/>
    <row r="12">
      <c r="A12" s="17" t="inlineStr">
        <is>
          <t>📋 ÚLTIMOS MOVIMIENTOS REGISTRADOS</t>
        </is>
      </c>
    </row>
    <row r="13">
      <c r="A13" s="12" t="inlineStr">
        <is>
          <t>N.º Orden</t>
        </is>
      </c>
      <c r="B13" s="12" t="inlineStr">
        <is>
          <t>Fecha</t>
        </is>
      </c>
      <c r="C13" s="12" t="inlineStr">
        <is>
          <t>Usuario</t>
        </is>
      </c>
      <c r="D13" s="12" t="inlineStr">
        <is>
          <t>Tipo</t>
        </is>
      </c>
      <c r="E13" s="12" t="inlineStr">
        <is>
          <t>Categoría</t>
        </is>
      </c>
      <c r="F13" s="12" t="inlineStr">
        <is>
          <t>Descripción</t>
        </is>
      </c>
      <c r="G13" s="12" t="inlineStr">
        <is>
          <t>Monto</t>
        </is>
      </c>
      <c r="H13" s="12" t="inlineStr">
        <is>
          <t>Medio Pago</t>
        </is>
      </c>
      <c r="I13" s="12" t="inlineStr">
        <is>
          <t>Estado</t>
        </is>
      </c>
    </row>
    <row r="14">
      <c r="A14" s="18" t="n"/>
      <c r="B14" s="18" t="n"/>
      <c r="C14" s="4" t="n"/>
      <c r="D14" s="18" t="n"/>
      <c r="E14" s="4" t="n"/>
      <c r="F14" s="4" t="n"/>
      <c r="G14" s="19" t="n"/>
      <c r="H14" s="18" t="n"/>
      <c r="I14" s="18" t="n"/>
    </row>
    <row r="15">
      <c r="A15" s="18" t="n"/>
      <c r="B15" s="18" t="n"/>
      <c r="C15" s="4" t="n"/>
      <c r="D15" s="18" t="n"/>
      <c r="E15" s="4" t="n"/>
      <c r="F15" s="4" t="n"/>
      <c r="G15" s="19" t="n"/>
      <c r="H15" s="18" t="n"/>
      <c r="I15" s="18" t="n"/>
    </row>
    <row r="16">
      <c r="A16" s="18" t="n"/>
      <c r="B16" s="18" t="n"/>
      <c r="C16" s="4" t="n"/>
      <c r="D16" s="18" t="n"/>
      <c r="E16" s="4" t="n"/>
      <c r="F16" s="4" t="n"/>
      <c r="G16" s="19" t="n"/>
      <c r="H16" s="18" t="n"/>
      <c r="I16" s="18" t="n"/>
    </row>
    <row r="17">
      <c r="A17" s="18" t="n"/>
      <c r="B17" s="18" t="n"/>
      <c r="C17" s="4" t="n"/>
      <c r="D17" s="18" t="n"/>
      <c r="E17" s="4" t="n"/>
      <c r="F17" s="4" t="n"/>
      <c r="G17" s="19" t="n"/>
      <c r="H17" s="18" t="n"/>
      <c r="I17" s="18" t="n"/>
    </row>
    <row r="18">
      <c r="A18" s="18" t="n"/>
      <c r="B18" s="18" t="n"/>
      <c r="C18" s="4" t="n"/>
      <c r="D18" s="18" t="n"/>
      <c r="E18" s="4" t="n"/>
      <c r="F18" s="4" t="n"/>
      <c r="G18" s="19" t="n"/>
      <c r="H18" s="18" t="n"/>
      <c r="I18" s="18" t="n"/>
    </row>
    <row r="19">
      <c r="A19" s="18" t="n"/>
      <c r="B19" s="18" t="n"/>
      <c r="C19" s="4" t="n"/>
      <c r="D19" s="18" t="n"/>
      <c r="E19" s="4" t="n"/>
      <c r="F19" s="4" t="n"/>
      <c r="G19" s="19" t="n"/>
      <c r="H19" s="18" t="n"/>
      <c r="I19" s="18" t="n"/>
    </row>
  </sheetData>
  <mergeCells count="12">
    <mergeCell ref="D8:E8"/>
    <mergeCell ref="F4:G4"/>
    <mergeCell ref="F8:I8"/>
    <mergeCell ref="F9:I10"/>
    <mergeCell ref="B4:D4"/>
    <mergeCell ref="F5:G6"/>
    <mergeCell ref="A1:I2"/>
    <mergeCell ref="H4:I4"/>
    <mergeCell ref="H5:I6"/>
    <mergeCell ref="B8:C8"/>
    <mergeCell ref="B9:C10"/>
    <mergeCell ref="D9:E10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J13"/>
  <sheetViews>
    <sheetView showGridLines="1" workbookViewId="0">
      <selection activeCell="A1" sqref="A1"/>
    </sheetView>
  </sheetViews>
  <sheetFormatPr baseColWidth="8" defaultRowHeight="15"/>
  <cols>
    <col width="16" customWidth="1" min="1" max="1"/>
    <col width="18" customWidth="1" min="2" max="2"/>
    <col width="14" customWidth="1" min="3" max="3"/>
    <col width="18" customWidth="1" min="4" max="4"/>
    <col width="22" customWidth="1" min="5" max="5"/>
    <col width="32" customWidth="1" min="6" max="6"/>
    <col width="15" customWidth="1" min="7" max="7"/>
    <col width="18" customWidth="1" min="8" max="8"/>
    <col width="28" customWidth="1" min="9" max="9"/>
    <col width="14" customWidth="1" min="10" max="10"/>
  </cols>
  <sheetData>
    <row r="1">
      <c r="A1" s="1" t="inlineStr">
        <is>
          <t>📋 DATOS REGISTRADOS - CONTROL DE MOVIMIENTOS ECONÓMICOS</t>
        </is>
      </c>
    </row>
    <row r="2"/>
    <row r="3"/>
    <row r="4"/>
    <row r="5"/>
    <row r="6">
      <c r="A6" s="20" t="inlineStr">
        <is>
          <t>N.º de Orden</t>
        </is>
      </c>
      <c r="B6" s="20" t="inlineStr">
        <is>
          <t>Fecha</t>
        </is>
      </c>
      <c r="C6" s="20" t="inlineStr">
        <is>
          <t>Usuario</t>
        </is>
      </c>
      <c r="D6" s="20" t="inlineStr">
        <is>
          <t>Tipo de Movimiento</t>
        </is>
      </c>
      <c r="E6" s="20" t="inlineStr">
        <is>
          <t>Categoría</t>
        </is>
      </c>
      <c r="F6" s="20" t="inlineStr">
        <is>
          <t>Descripción del gasto o movimiento</t>
        </is>
      </c>
      <c r="G6" s="20" t="inlineStr">
        <is>
          <t>Monto</t>
        </is>
      </c>
      <c r="H6" s="20" t="inlineStr">
        <is>
          <t>Medio de Pago</t>
        </is>
      </c>
      <c r="I6" s="20" t="inlineStr">
        <is>
          <t>Observaciones</t>
        </is>
      </c>
      <c r="J6" s="20" t="inlineStr">
        <is>
          <t>Estado</t>
        </is>
      </c>
    </row>
    <row r="7">
      <c r="A7" s="21" t="inlineStr">
        <is>
          <t>ORD-0001</t>
        </is>
      </c>
      <c r="B7" s="21" t="inlineStr">
        <is>
          <t>2025-01-05 10:15</t>
        </is>
      </c>
      <c r="C7" s="21" t="inlineStr">
        <is>
          <t>admin</t>
        </is>
      </c>
      <c r="D7" s="21" t="inlineStr">
        <is>
          <t>Ingreso</t>
        </is>
      </c>
      <c r="E7" s="22" t="inlineStr">
        <is>
          <t>Sueldo / Honorarios</t>
        </is>
      </c>
      <c r="F7" s="22" t="inlineStr">
        <is>
          <t>Sueldo mensual principal</t>
        </is>
      </c>
      <c r="G7" s="23" t="n">
        <v>4500</v>
      </c>
      <c r="H7" s="21" t="inlineStr">
        <is>
          <t>Transferencia</t>
        </is>
      </c>
      <c r="I7" s="22" t="inlineStr">
        <is>
          <t>Depósito de sueldo</t>
        </is>
      </c>
      <c r="J7" s="21" t="inlineStr">
        <is>
          <t>Completado</t>
        </is>
      </c>
    </row>
    <row r="8">
      <c r="A8" s="21" t="inlineStr">
        <is>
          <t>ORD-0002</t>
        </is>
      </c>
      <c r="B8" s="21" t="inlineStr">
        <is>
          <t>2025-01-06 14:30</t>
        </is>
      </c>
      <c r="C8" s="21" t="inlineStr">
        <is>
          <t>admin</t>
        </is>
      </c>
      <c r="D8" s="21" t="inlineStr">
        <is>
          <t>Salida</t>
        </is>
      </c>
      <c r="E8" s="22" t="inlineStr">
        <is>
          <t>Alimentación</t>
        </is>
      </c>
      <c r="F8" s="22" t="inlineStr">
        <is>
          <t>Supermercado compras semanales</t>
        </is>
      </c>
      <c r="G8" s="23" t="n">
        <v>350.5</v>
      </c>
      <c r="H8" s="21" t="inlineStr">
        <is>
          <t>Tarjeta de Débito</t>
        </is>
      </c>
      <c r="I8" s="22" t="inlineStr">
        <is>
          <t>Compras en Wong</t>
        </is>
      </c>
      <c r="J8" s="21" t="inlineStr">
        <is>
          <t>Completado</t>
        </is>
      </c>
    </row>
    <row r="9">
      <c r="A9" s="21" t="inlineStr">
        <is>
          <t>ORD-0003</t>
        </is>
      </c>
      <c r="B9" s="21" t="inlineStr">
        <is>
          <t>2025-01-08 09:20</t>
        </is>
      </c>
      <c r="C9" s="21" t="inlineStr">
        <is>
          <t>editor</t>
        </is>
      </c>
      <c r="D9" s="21" t="inlineStr">
        <is>
          <t>Salida</t>
        </is>
      </c>
      <c r="E9" s="22" t="inlineStr">
        <is>
          <t>Servicios</t>
        </is>
      </c>
      <c r="F9" s="22" t="inlineStr">
        <is>
          <t>Pago de luz y agua</t>
        </is>
      </c>
      <c r="G9" s="23" t="n">
        <v>180</v>
      </c>
      <c r="H9" s="21" t="inlineStr">
        <is>
          <t>Yape/Plin</t>
        </is>
      </c>
      <c r="I9" s="22" t="inlineStr">
        <is>
          <t>Recibos de enero</t>
        </is>
      </c>
      <c r="J9" s="21" t="inlineStr">
        <is>
          <t>Completado</t>
        </is>
      </c>
    </row>
    <row r="10">
      <c r="A10" s="21" t="inlineStr">
        <is>
          <t>ORD-0004</t>
        </is>
      </c>
      <c r="B10" s="21" t="inlineStr">
        <is>
          <t>2025-01-10 18:00</t>
        </is>
      </c>
      <c r="C10" s="21" t="inlineStr">
        <is>
          <t>editor</t>
        </is>
      </c>
      <c r="D10" s="21" t="inlineStr">
        <is>
          <t>Salida</t>
        </is>
      </c>
      <c r="E10" s="22" t="inlineStr">
        <is>
          <t>Transporte</t>
        </is>
      </c>
      <c r="F10" s="22" t="inlineStr">
        <is>
          <t>Recarga de combustible</t>
        </is>
      </c>
      <c r="G10" s="23" t="n">
        <v>120</v>
      </c>
      <c r="H10" s="21" t="inlineStr">
        <is>
          <t>Efectivo</t>
        </is>
      </c>
      <c r="I10" s="22" t="inlineStr">
        <is>
          <t>Grifo Primax</t>
        </is>
      </c>
      <c r="J10" s="21" t="inlineStr">
        <is>
          <t>Completado</t>
        </is>
      </c>
    </row>
    <row r="11">
      <c r="A11" s="21" t="inlineStr">
        <is>
          <t>ORD-0005</t>
        </is>
      </c>
      <c r="B11" s="21" t="inlineStr">
        <is>
          <t>2025-01-12 11:45</t>
        </is>
      </c>
      <c r="C11" s="21" t="inlineStr">
        <is>
          <t>admin</t>
        </is>
      </c>
      <c r="D11" s="21" t="inlineStr">
        <is>
          <t>Salida</t>
        </is>
      </c>
      <c r="E11" s="22" t="inlineStr">
        <is>
          <t>Mantenimiento</t>
        </is>
      </c>
      <c r="F11" s="22" t="inlineStr">
        <is>
          <t>Reparación de tubería de cocina</t>
        </is>
      </c>
      <c r="G11" s="23" t="n">
        <v>250</v>
      </c>
      <c r="H11" s="21" t="inlineStr">
        <is>
          <t>Efectivo</t>
        </is>
      </c>
      <c r="I11" s="22" t="inlineStr">
        <is>
          <t>Gasfitería rápida</t>
        </is>
      </c>
      <c r="J11" s="21" t="inlineStr">
        <is>
          <t>Completado</t>
        </is>
      </c>
    </row>
    <row r="12">
      <c r="A12" s="21" t="inlineStr">
        <is>
          <t>ORD-0006</t>
        </is>
      </c>
      <c r="B12" s="21" t="inlineStr">
        <is>
          <t>2025-01-15 16:10</t>
        </is>
      </c>
      <c r="C12" s="21" t="inlineStr">
        <is>
          <t>editor</t>
        </is>
      </c>
      <c r="D12" s="21" t="inlineStr">
        <is>
          <t>Ingreso</t>
        </is>
      </c>
      <c r="E12" s="22" t="inlineStr">
        <is>
          <t>Ventas / Servicios Extra</t>
        </is>
      </c>
      <c r="F12" s="22" t="inlineStr">
        <is>
          <t>Venta de artículo usado</t>
        </is>
      </c>
      <c r="G12" s="23" t="n">
        <v>300</v>
      </c>
      <c r="H12" s="21" t="inlineStr">
        <is>
          <t>Transferencia</t>
        </is>
      </c>
      <c r="I12" s="22" t="inlineStr">
        <is>
          <t>Plaza Vea pago directo</t>
        </is>
      </c>
      <c r="J12" s="21" t="inlineStr">
        <is>
          <t>Completado</t>
        </is>
      </c>
    </row>
    <row r="13">
      <c r="A13" s="21" t="inlineStr">
        <is>
          <t>ORD-0007</t>
        </is>
      </c>
      <c r="B13" s="21" t="inlineStr">
        <is>
          <t>2025-01-18 20:00</t>
        </is>
      </c>
      <c r="C13" s="21" t="inlineStr">
        <is>
          <t>editor</t>
        </is>
      </c>
      <c r="D13" s="21" t="inlineStr">
        <is>
          <t>Salida</t>
        </is>
      </c>
      <c r="E13" s="22" t="inlineStr">
        <is>
          <t>Entretenimiento</t>
        </is>
      </c>
      <c r="F13" s="22" t="inlineStr">
        <is>
          <t>Cine y cena familiar</t>
        </is>
      </c>
      <c r="G13" s="23" t="n">
        <v>145</v>
      </c>
      <c r="H13" s="21" t="inlineStr">
        <is>
          <t>Tarjeta de Crédito</t>
        </is>
      </c>
      <c r="I13" s="22" t="inlineStr">
        <is>
          <t>Cineplanet</t>
        </is>
      </c>
      <c r="J13" s="21" t="inlineStr">
        <is>
          <t>Completado</t>
        </is>
      </c>
    </row>
  </sheetData>
  <mergeCells count="1">
    <mergeCell ref="A1:J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G8"/>
  <sheetViews>
    <sheetView showGridLines="1" workbookViewId="0">
      <selection activeCell="A1" sqref="A1"/>
    </sheetView>
  </sheetViews>
  <sheetFormatPr baseColWidth="8" defaultRowHeight="15"/>
  <cols>
    <col width="14" customWidth="1" min="1" max="1"/>
    <col width="16" customWidth="1" min="2" max="2"/>
    <col width="26" customWidth="1" min="3" max="3"/>
    <col width="16" customWidth="1" min="4" max="4"/>
    <col width="18" customWidth="1" min="5" max="5"/>
    <col width="12" customWidth="1" min="6" max="6"/>
    <col width="20" customWidth="1" min="7" max="7"/>
  </cols>
  <sheetData>
    <row r="1">
      <c r="A1" s="1" t="inlineStr">
        <is>
          <t>👥 ADMINISTRACIÓN DE USUARIOS DEL SISTEMA</t>
        </is>
      </c>
    </row>
    <row r="2"/>
    <row r="3"/>
    <row r="4"/>
    <row r="5"/>
    <row r="6">
      <c r="A6" s="12" t="inlineStr">
        <is>
          <t>ID Usuario</t>
        </is>
      </c>
      <c r="B6" s="12" t="inlineStr">
        <is>
          <t>Usuario</t>
        </is>
      </c>
      <c r="C6" s="12" t="inlineStr">
        <is>
          <t>Nombre Completo</t>
        </is>
      </c>
      <c r="D6" s="12" t="inlineStr">
        <is>
          <t>Contraseña</t>
        </is>
      </c>
      <c r="E6" s="12" t="inlineStr">
        <is>
          <t>Nivel de Permiso</t>
        </is>
      </c>
      <c r="F6" s="12" t="inlineStr">
        <is>
          <t>Estado</t>
        </is>
      </c>
      <c r="G6" s="12" t="inlineStr">
        <is>
          <t>Último Acceso</t>
        </is>
      </c>
    </row>
    <row r="7">
      <c r="A7" s="21" t="inlineStr">
        <is>
          <t>USR-001</t>
        </is>
      </c>
      <c r="B7" s="21" t="inlineStr">
        <is>
          <t>admin</t>
        </is>
      </c>
      <c r="C7" s="22" t="inlineStr">
        <is>
          <t>Administrador del Sistema</t>
        </is>
      </c>
      <c r="D7" s="21" t="inlineStr">
        <is>
          <t>admin123</t>
        </is>
      </c>
      <c r="E7" s="21" t="inlineStr">
        <is>
          <t>Administrador</t>
        </is>
      </c>
      <c r="F7" s="21" t="inlineStr">
        <is>
          <t>Activo</t>
        </is>
      </c>
      <c r="G7" s="21" t="inlineStr">
        <is>
          <t>2025-01-18 20:15</t>
        </is>
      </c>
    </row>
    <row r="8">
      <c r="A8" s="21" t="inlineStr">
        <is>
          <t>USR-002</t>
        </is>
      </c>
      <c r="B8" s="21" t="inlineStr">
        <is>
          <t>editor</t>
        </is>
      </c>
      <c r="C8" s="22" t="inlineStr">
        <is>
          <t>Editor de Registros</t>
        </is>
      </c>
      <c r="D8" s="21" t="inlineStr">
        <is>
          <t>editor123</t>
        </is>
      </c>
      <c r="E8" s="21" t="inlineStr">
        <is>
          <t>Editor</t>
        </is>
      </c>
      <c r="F8" s="21" t="inlineStr">
        <is>
          <t>Activo</t>
        </is>
      </c>
      <c r="G8" s="21" t="inlineStr">
        <is>
          <t>2025-01-18 19:40</t>
        </is>
      </c>
    </row>
  </sheetData>
  <mergeCells count="1">
    <mergeCell ref="A1:G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8"/>
  <sheetViews>
    <sheetView showGridLines="1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6" customWidth="1" min="3" max="3"/>
    <col width="16" customWidth="1" min="4" max="4"/>
    <col width="16" customWidth="1" min="5" max="5"/>
    <col width="6" customWidth="1" min="6" max="6"/>
    <col width="22" customWidth="1" min="7" max="7"/>
    <col width="22" customWidth="1" min="8" max="8"/>
  </cols>
  <sheetData>
    <row r="1">
      <c r="A1" s="1" t="inlineStr">
        <is>
          <t>💰 REGISTRO DE GASTOS Y RESUMEN ESTADÍSTICO</t>
        </is>
      </c>
    </row>
    <row r="2"/>
    <row r="3"/>
    <row r="4"/>
    <row r="5">
      <c r="A5" s="17" t="inlineStr">
        <is>
          <t>📊 RESUMEN DE GASTOS POR CATEGORÍA</t>
        </is>
      </c>
      <c r="G5" s="17" t="inlineStr">
        <is>
          <t>💳 DISTRIBUCIÓN POR MEDIO DE PAGO</t>
        </is>
      </c>
    </row>
    <row r="6">
      <c r="A6" s="13" t="inlineStr">
        <is>
          <t>Categoría</t>
        </is>
      </c>
      <c r="B6" s="13" t="inlineStr">
        <is>
          <t>Total Ingresos</t>
        </is>
      </c>
      <c r="C6" s="13" t="inlineStr">
        <is>
          <t>Total Salidas</t>
        </is>
      </c>
      <c r="D6" s="13" t="inlineStr">
        <is>
          <t>Balance Net</t>
        </is>
      </c>
      <c r="E6" s="13" t="inlineStr">
        <is>
          <t>% del Total Gastos</t>
        </is>
      </c>
      <c r="G6" s="13" t="inlineStr">
        <is>
          <t>Medio de Pago</t>
        </is>
      </c>
      <c r="H6" s="13" t="inlineStr">
        <is>
          <t>Monto Total Transaccionado</t>
        </is>
      </c>
    </row>
    <row r="7">
      <c r="A7" s="24" t="inlineStr">
        <is>
          <t>Alimentación</t>
        </is>
      </c>
      <c r="B7" s="25">
        <f>SUMIFS('Datos Registrados'!$G:$G, 'Datos Registrados'!$E:$E, A7, 'Datos Registrados'!$D:$D, "Ingreso")</f>
        <v/>
      </c>
      <c r="C7" s="25">
        <f>SUMIFS('Datos Registrados'!$G:$G, 'Datos Registrados'!$E:$E, A7, 'Datos Registrados'!$D:$D, "Salida")</f>
        <v/>
      </c>
      <c r="D7" s="26">
        <f>B7-C7</f>
        <v/>
      </c>
      <c r="E7" s="27">
        <f>IF($C$18&gt;0, C7/$C$18, 0)</f>
        <v/>
      </c>
      <c r="G7" s="24" t="inlineStr">
        <is>
          <t>Efectivo</t>
        </is>
      </c>
      <c r="H7" s="25">
        <f>SUMIF('Datos Registrados'!$H:$H, G7, 'Datos Registrados'!$G:$G)</f>
        <v/>
      </c>
    </row>
    <row r="8">
      <c r="A8" s="24" t="inlineStr">
        <is>
          <t>Servicios</t>
        </is>
      </c>
      <c r="B8" s="25">
        <f>SUMIFS('Datos Registrados'!$G:$G, 'Datos Registrados'!$E:$E, A8, 'Datos Registrados'!$D:$D, "Ingreso")</f>
        <v/>
      </c>
      <c r="C8" s="25">
        <f>SUMIFS('Datos Registrados'!$G:$G, 'Datos Registrados'!$E:$E, A8, 'Datos Registrados'!$D:$D, "Salida")</f>
        <v/>
      </c>
      <c r="D8" s="26">
        <f>B8-C8</f>
        <v/>
      </c>
      <c r="E8" s="27">
        <f>IF($C$18&gt;0, C8/$C$18, 0)</f>
        <v/>
      </c>
      <c r="G8" s="24" t="inlineStr">
        <is>
          <t>Tarjeta de Débito</t>
        </is>
      </c>
      <c r="H8" s="25">
        <f>SUMIF('Datos Registrados'!$H:$H, G8, 'Datos Registrados'!$G:$G)</f>
        <v/>
      </c>
    </row>
    <row r="9">
      <c r="A9" s="24" t="inlineStr">
        <is>
          <t>Mantenimiento</t>
        </is>
      </c>
      <c r="B9" s="25">
        <f>SUMIFS('Datos Registrados'!$G:$G, 'Datos Registrados'!$E:$E, A9, 'Datos Registrados'!$D:$D, "Ingreso")</f>
        <v/>
      </c>
      <c r="C9" s="25">
        <f>SUMIFS('Datos Registrados'!$G:$G, 'Datos Registrados'!$E:$E, A9, 'Datos Registrados'!$D:$D, "Salida")</f>
        <v/>
      </c>
      <c r="D9" s="26">
        <f>B9-C9</f>
        <v/>
      </c>
      <c r="E9" s="27">
        <f>IF($C$18&gt;0, C9/$C$18, 0)</f>
        <v/>
      </c>
      <c r="G9" s="24" t="inlineStr">
        <is>
          <t>Tarjeta de Crédito</t>
        </is>
      </c>
      <c r="H9" s="25">
        <f>SUMIF('Datos Registrados'!$H:$H, G9, 'Datos Registrados'!$G:$G)</f>
        <v/>
      </c>
    </row>
    <row r="10">
      <c r="A10" s="24" t="inlineStr">
        <is>
          <t>Compras</t>
        </is>
      </c>
      <c r="B10" s="25">
        <f>SUMIFS('Datos Registrados'!$G:$G, 'Datos Registrados'!$E:$E, A10, 'Datos Registrados'!$D:$D, "Ingreso")</f>
        <v/>
      </c>
      <c r="C10" s="25">
        <f>SUMIFS('Datos Registrados'!$G:$G, 'Datos Registrados'!$E:$E, A10, 'Datos Registrados'!$D:$D, "Salida")</f>
        <v/>
      </c>
      <c r="D10" s="26">
        <f>B10-C10</f>
        <v/>
      </c>
      <c r="E10" s="27">
        <f>IF($C$18&gt;0, C10/$C$18, 0)</f>
        <v/>
      </c>
      <c r="G10" s="24" t="inlineStr">
        <is>
          <t>Transferencia</t>
        </is>
      </c>
      <c r="H10" s="25">
        <f>SUMIF('Datos Registrados'!$H:$H, G10, 'Datos Registrados'!$G:$G)</f>
        <v/>
      </c>
    </row>
    <row r="11">
      <c r="A11" s="24" t="inlineStr">
        <is>
          <t>Transporte</t>
        </is>
      </c>
      <c r="B11" s="25">
        <f>SUMIFS('Datos Registrados'!$G:$G, 'Datos Registrados'!$E:$E, A11, 'Datos Registrados'!$D:$D, "Ingreso")</f>
        <v/>
      </c>
      <c r="C11" s="25">
        <f>SUMIFS('Datos Registrados'!$G:$G, 'Datos Registrados'!$E:$E, A11, 'Datos Registrados'!$D:$D, "Salida")</f>
        <v/>
      </c>
      <c r="D11" s="26">
        <f>B11-C11</f>
        <v/>
      </c>
      <c r="E11" s="27">
        <f>IF($C$18&gt;0, C11/$C$18, 0)</f>
        <v/>
      </c>
      <c r="G11" s="24" t="inlineStr">
        <is>
          <t>Yape/Plin</t>
        </is>
      </c>
      <c r="H11" s="25">
        <f>SUMIF('Datos Registrados'!$H:$H, G11, 'Datos Registrados'!$G:$G)</f>
        <v/>
      </c>
    </row>
    <row r="12">
      <c r="A12" s="24" t="inlineStr">
        <is>
          <t>Vivienda</t>
        </is>
      </c>
      <c r="B12" s="25">
        <f>SUMIFS('Datos Registrados'!$G:$G, 'Datos Registrados'!$E:$E, A12, 'Datos Registrados'!$D:$D, "Ingreso")</f>
        <v/>
      </c>
      <c r="C12" s="25">
        <f>SUMIFS('Datos Registrados'!$G:$G, 'Datos Registrados'!$E:$E, A12, 'Datos Registrados'!$D:$D, "Salida")</f>
        <v/>
      </c>
      <c r="D12" s="26">
        <f>B12-C12</f>
        <v/>
      </c>
      <c r="E12" s="27">
        <f>IF($C$18&gt;0, C12/$C$18, 0)</f>
        <v/>
      </c>
      <c r="G12" s="24" t="inlineStr">
        <is>
          <t>Otro</t>
        </is>
      </c>
      <c r="H12" s="25">
        <f>SUMIF('Datos Registrados'!$H:$H, G12, 'Datos Registrados'!$G:$G)</f>
        <v/>
      </c>
    </row>
    <row r="13">
      <c r="A13" s="24" t="inlineStr">
        <is>
          <t>Salud</t>
        </is>
      </c>
      <c r="B13" s="25">
        <f>SUMIFS('Datos Registrados'!$G:$G, 'Datos Registrados'!$E:$E, A13, 'Datos Registrados'!$D:$D, "Ingreso")</f>
        <v/>
      </c>
      <c r="C13" s="25">
        <f>SUMIFS('Datos Registrados'!$G:$G, 'Datos Registrados'!$E:$E, A13, 'Datos Registrados'!$D:$D, "Salida")</f>
        <v/>
      </c>
      <c r="D13" s="26">
        <f>B13-C13</f>
        <v/>
      </c>
      <c r="E13" s="27">
        <f>IF($C$18&gt;0, C13/$C$18, 0)</f>
        <v/>
      </c>
    </row>
    <row r="14">
      <c r="A14" s="24" t="inlineStr">
        <is>
          <t>Educación</t>
        </is>
      </c>
      <c r="B14" s="25">
        <f>SUMIFS('Datos Registrados'!$G:$G, 'Datos Registrados'!$E:$E, A14, 'Datos Registrados'!$D:$D, "Ingreso")</f>
        <v/>
      </c>
      <c r="C14" s="25">
        <f>SUMIFS('Datos Registrados'!$G:$G, 'Datos Registrados'!$E:$E, A14, 'Datos Registrados'!$D:$D, "Salida")</f>
        <v/>
      </c>
      <c r="D14" s="26">
        <f>B14-C14</f>
        <v/>
      </c>
      <c r="E14" s="27">
        <f>IF($C$18&gt;0, C14/$C$18, 0)</f>
        <v/>
      </c>
    </row>
    <row r="15">
      <c r="A15" s="24" t="inlineStr">
        <is>
          <t>Entretenimiento</t>
        </is>
      </c>
      <c r="B15" s="25">
        <f>SUMIFS('Datos Registrados'!$G:$G, 'Datos Registrados'!$E:$E, A15, 'Datos Registrados'!$D:$D, "Ingreso")</f>
        <v/>
      </c>
      <c r="C15" s="25">
        <f>SUMIFS('Datos Registrados'!$G:$G, 'Datos Registrados'!$E:$E, A15, 'Datos Registrados'!$D:$D, "Salida")</f>
        <v/>
      </c>
      <c r="D15" s="26">
        <f>B15-C15</f>
        <v/>
      </c>
      <c r="E15" s="27">
        <f>IF($C$18&gt;0, C15/$C$18, 0)</f>
        <v/>
      </c>
    </row>
    <row r="16">
      <c r="A16" s="24" t="inlineStr">
        <is>
          <t>Sueldo / Honorarios</t>
        </is>
      </c>
      <c r="B16" s="25">
        <f>SUMIFS('Datos Registrados'!$G:$G, 'Datos Registrados'!$E:$E, A16, 'Datos Registrados'!$D:$D, "Ingreso")</f>
        <v/>
      </c>
      <c r="C16" s="25">
        <f>SUMIFS('Datos Registrados'!$G:$G, 'Datos Registrados'!$E:$E, A16, 'Datos Registrados'!$D:$D, "Salida")</f>
        <v/>
      </c>
      <c r="D16" s="26">
        <f>B16-C16</f>
        <v/>
      </c>
      <c r="E16" s="27">
        <f>IF($C$18&gt;0, C16/$C$18, 0)</f>
        <v/>
      </c>
    </row>
    <row r="17">
      <c r="A17" s="24" t="inlineStr">
        <is>
          <t>Otros</t>
        </is>
      </c>
      <c r="B17" s="25">
        <f>SUMIFS('Datos Registrados'!$G:$G, 'Datos Registrados'!$E:$E, A17, 'Datos Registrados'!$D:$D, "Ingreso")</f>
        <v/>
      </c>
      <c r="C17" s="25">
        <f>SUMIFS('Datos Registrados'!$G:$G, 'Datos Registrados'!$E:$E, A17, 'Datos Registrados'!$D:$D, "Salida")</f>
        <v/>
      </c>
      <c r="D17" s="26">
        <f>B17-C17</f>
        <v/>
      </c>
      <c r="E17" s="27">
        <f>IF($C$18&gt;0, C17/$C$18, 0)</f>
        <v/>
      </c>
    </row>
    <row r="18">
      <c r="A18" s="28" t="inlineStr">
        <is>
          <t>TOTAL GENERAL</t>
        </is>
      </c>
      <c r="B18" s="26">
        <f>SUM(B7:B17)</f>
        <v/>
      </c>
      <c r="C18" s="26">
        <f>SUM(C7:C17)</f>
        <v/>
      </c>
      <c r="D18" s="26">
        <f>SUM(D7:D17)</f>
        <v/>
      </c>
      <c r="E18" s="29">
        <f>SUM(E7:E17)</f>
        <v/>
      </c>
    </row>
  </sheetData>
  <mergeCells count="1">
    <mergeCell ref="A1:H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2026-09-17T03:37:31Z</dcterms:created>
  <dcterms:modified xsi:type="dcterms:W3CDTF">2026-09-17T03:37:31Z</dcterms:modified>
</cp:coreProperties>
</file>